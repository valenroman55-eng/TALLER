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5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</sheets>
  <calcPr calcId="144525"/>
</workbook>
</file>

<file path=xl/calcChain.xml><?xml version="1.0" encoding="utf-8"?>
<calcChain xmlns="http://schemas.openxmlformats.org/spreadsheetml/2006/main">
  <c r="C2" i="3" l="1"/>
  <c r="E2" i="6"/>
  <c r="D11" i="6"/>
  <c r="C11" i="6"/>
  <c r="B11" i="6"/>
  <c r="E3" i="6"/>
  <c r="E4" i="6"/>
  <c r="E5" i="6"/>
  <c r="E6" i="6"/>
  <c r="E7" i="6"/>
  <c r="E8" i="6"/>
  <c r="C2" i="5"/>
  <c r="C3" i="5" l="1"/>
  <c r="C4" i="5"/>
  <c r="C5" i="5"/>
  <c r="C6" i="5"/>
  <c r="C7" i="5"/>
  <c r="C8" i="5"/>
  <c r="E2" i="4" l="1"/>
  <c r="D2" i="4"/>
  <c r="C3" i="4"/>
  <c r="C2" i="4"/>
  <c r="C4" i="4"/>
  <c r="C5" i="4"/>
  <c r="F3" i="4"/>
  <c r="F4" i="4"/>
  <c r="F2" i="4"/>
  <c r="B3" i="4"/>
  <c r="B4" i="4"/>
  <c r="B5" i="4"/>
  <c r="B2" i="4"/>
  <c r="E3" i="4"/>
  <c r="E4" i="4"/>
  <c r="E5" i="4"/>
  <c r="D3" i="4"/>
  <c r="D4" i="4"/>
  <c r="D5" i="4"/>
  <c r="F5" i="4" s="1"/>
  <c r="D9" i="3"/>
  <c r="D10" i="3"/>
  <c r="D8" i="3"/>
  <c r="C3" i="3"/>
  <c r="C4" i="3"/>
  <c r="C5" i="3"/>
  <c r="C6" i="3"/>
  <c r="B12" i="2" l="1"/>
  <c r="B11" i="2"/>
  <c r="H2" i="2"/>
  <c r="B10" i="2"/>
  <c r="H3" i="2"/>
  <c r="H4" i="2"/>
  <c r="H5" i="2"/>
  <c r="H6" i="2"/>
  <c r="H7" i="2"/>
  <c r="B13" i="2" l="1"/>
  <c r="E3" i="2"/>
  <c r="E4" i="2"/>
  <c r="E5" i="2"/>
  <c r="E6" i="2"/>
  <c r="E7" i="2"/>
  <c r="E2" i="2"/>
  <c r="D3" i="2"/>
  <c r="D4" i="2"/>
  <c r="D5" i="2"/>
  <c r="D6" i="2"/>
  <c r="D7" i="2"/>
  <c r="D2" i="2"/>
  <c r="C3" i="2"/>
  <c r="C4" i="2"/>
  <c r="C5" i="2"/>
  <c r="C6" i="2"/>
  <c r="C7" i="2"/>
  <c r="C2" i="2"/>
  <c r="D4" i="1"/>
  <c r="D2" i="1"/>
  <c r="C2" i="1"/>
  <c r="D3" i="1"/>
  <c r="D5" i="1"/>
  <c r="D6" i="1"/>
  <c r="D7" i="1"/>
  <c r="C3" i="1"/>
  <c r="C4" i="1"/>
  <c r="C5" i="1"/>
  <c r="C6" i="1"/>
  <c r="C7" i="1"/>
</calcChain>
</file>

<file path=xl/sharedStrings.xml><?xml version="1.0" encoding="utf-8"?>
<sst xmlns="http://schemas.openxmlformats.org/spreadsheetml/2006/main" count="112" uniqueCount="88">
  <si>
    <t>apellido</t>
  </si>
  <si>
    <t xml:space="preserve">nombre </t>
  </si>
  <si>
    <t>apellido 
y nombre</t>
  </si>
  <si>
    <t>gmail</t>
  </si>
  <si>
    <t>luis</t>
  </si>
  <si>
    <t>sanchez</t>
  </si>
  <si>
    <t xml:space="preserve">carlos </t>
  </si>
  <si>
    <t>rodrigez</t>
  </si>
  <si>
    <t xml:space="preserve">luna </t>
  </si>
  <si>
    <t>tomey</t>
  </si>
  <si>
    <t xml:space="preserve">ramona </t>
  </si>
  <si>
    <t>galarza</t>
  </si>
  <si>
    <t>elvio</t>
  </si>
  <si>
    <t>navarro</t>
  </si>
  <si>
    <t>sinforoza</t>
  </si>
  <si>
    <t>lapacco</t>
  </si>
  <si>
    <t>sanchez, luis</t>
  </si>
  <si>
    <t xml:space="preserve">rodrigez, carlos </t>
  </si>
  <si>
    <t xml:space="preserve">tomey, luna </t>
  </si>
  <si>
    <t xml:space="preserve">galarza, ramona </t>
  </si>
  <si>
    <t>navarro, elvio</t>
  </si>
  <si>
    <t>lapacco, sinforoza</t>
  </si>
  <si>
    <t xml:space="preserve">fecha de nacimiento </t>
  </si>
  <si>
    <t>edad en años</t>
  </si>
  <si>
    <t>edad en meses</t>
  </si>
  <si>
    <t>edad en dias</t>
  </si>
  <si>
    <t>nota 1</t>
  </si>
  <si>
    <t>nota 2</t>
  </si>
  <si>
    <t>promedio</t>
  </si>
  <si>
    <t>promedio mas alto</t>
  </si>
  <si>
    <t>promedio mas bajo</t>
  </si>
  <si>
    <t xml:space="preserve">cantidad de alunmos reprobados </t>
  </si>
  <si>
    <t>cantidad de alumnos aprobados</t>
  </si>
  <si>
    <t>Nombre</t>
  </si>
  <si>
    <t>Apellido</t>
  </si>
  <si>
    <t>Email</t>
  </si>
  <si>
    <t>Genero</t>
  </si>
  <si>
    <t>Curso</t>
  </si>
  <si>
    <t>Luis</t>
  </si>
  <si>
    <t>Romero</t>
  </si>
  <si>
    <t>m</t>
  </si>
  <si>
    <t>Carla</t>
  </si>
  <si>
    <t>Sergio</t>
  </si>
  <si>
    <t>Luisa</t>
  </si>
  <si>
    <t>Ramona</t>
  </si>
  <si>
    <t>Ramirez</t>
  </si>
  <si>
    <t>Perez</t>
  </si>
  <si>
    <t>Conte</t>
  </si>
  <si>
    <t>f</t>
  </si>
  <si>
    <t>5a</t>
  </si>
  <si>
    <t>5c</t>
  </si>
  <si>
    <t>luisromero@gmail.com</t>
  </si>
  <si>
    <t>carlaconte@gmail.com</t>
  </si>
  <si>
    <t>sergioperez@gmail.com</t>
  </si>
  <si>
    <t>luisaramirez@gmail.com</t>
  </si>
  <si>
    <t>ramonaromero@gmail.com</t>
  </si>
  <si>
    <t>Nota</t>
  </si>
  <si>
    <t>cantidad de alumnos/as Aprobados:</t>
  </si>
  <si>
    <t>cantidad de alumnos/as de 5a</t>
  </si>
  <si>
    <t>cantidad de alumnas reprobadas:</t>
  </si>
  <si>
    <t xml:space="preserve">Apellido Nombre </t>
  </si>
  <si>
    <t>Perez, Luis</t>
  </si>
  <si>
    <t>Rodriguez, Natalia</t>
  </si>
  <si>
    <t>Saldaña, Luis</t>
  </si>
  <si>
    <t>Largo</t>
  </si>
  <si>
    <t>Hallar</t>
  </si>
  <si>
    <t>Largo-Hallar</t>
  </si>
  <si>
    <t>Perez, Carina Luisa</t>
  </si>
  <si>
    <t>Fecha De Nacimiento</t>
  </si>
  <si>
    <t>Mensaje</t>
  </si>
  <si>
    <t>Pedro</t>
  </si>
  <si>
    <t>Carlo</t>
  </si>
  <si>
    <t>Maria</t>
  </si>
  <si>
    <t>Anastacia</t>
  </si>
  <si>
    <t>Sinforosa</t>
  </si>
  <si>
    <t>Nota 1</t>
  </si>
  <si>
    <t>Nota 2</t>
  </si>
  <si>
    <t>Promedio</t>
  </si>
  <si>
    <t>orden</t>
  </si>
  <si>
    <t>domicilio</t>
  </si>
  <si>
    <t>4 de enero 7080</t>
  </si>
  <si>
    <t>Paraguay 2244</t>
  </si>
  <si>
    <t>Brasil 4422</t>
  </si>
  <si>
    <t>Bs As 8822</t>
  </si>
  <si>
    <t>La Rioja 2052</t>
  </si>
  <si>
    <t>Castelli 2422</t>
  </si>
  <si>
    <t>Alverdi 2299</t>
  </si>
  <si>
    <t>Alumna/o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</si>
</sst>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24" sqref="D24"/>
    </sheetView>
  </sheetViews>
  <sheetFormatPr baseColWidth="10" defaultRowHeight="15" x14ac:dyDescent="0.25"/>
  <cols>
    <col min="3" max="3" width="16.85546875" customWidth="1"/>
    <col min="4" max="4" width="27" customWidth="1"/>
  </cols>
  <sheetData>
    <row r="1" spans="1:4" ht="30" x14ac:dyDescent="0.25">
      <c r="A1" s="1" t="s">
        <v>1</v>
      </c>
      <c r="B1" s="1" t="s">
        <v>0</v>
      </c>
      <c r="C1" s="2" t="s">
        <v>2</v>
      </c>
      <c r="D1" s="1" t="s">
        <v>3</v>
      </c>
    </row>
    <row r="2" spans="1:4" x14ac:dyDescent="0.25">
      <c r="A2" t="s">
        <v>4</v>
      </c>
      <c r="B2" t="s">
        <v>5</v>
      </c>
      <c r="C2" t="str">
        <f>B2&amp;", "&amp;A2</f>
        <v>sanchez, luis</v>
      </c>
      <c r="D2" t="str">
        <f>LOWER(B2&amp;A2&amp;"@gmail.com")</f>
        <v>sanchezluis@gmail.com</v>
      </c>
    </row>
    <row r="3" spans="1:4" x14ac:dyDescent="0.25">
      <c r="A3" t="s">
        <v>6</v>
      </c>
      <c r="B3" t="s">
        <v>7</v>
      </c>
      <c r="C3" t="str">
        <f t="shared" ref="C3:C7" si="0">B3&amp;", "&amp;A3</f>
        <v xml:space="preserve">rodrigez, carlos </v>
      </c>
      <c r="D3" t="str">
        <f t="shared" ref="D3:D7" si="1">B3&amp;A3&amp;"@gmail.com"</f>
        <v>rodrigezcarlos @gmail.com</v>
      </c>
    </row>
    <row r="4" spans="1:4" x14ac:dyDescent="0.25">
      <c r="A4" t="s">
        <v>8</v>
      </c>
      <c r="B4" t="s">
        <v>9</v>
      </c>
      <c r="C4" t="str">
        <f t="shared" si="0"/>
        <v xml:space="preserve">tomey, luna </v>
      </c>
      <c r="D4" t="str">
        <f t="shared" si="1"/>
        <v>tomeyluna @gmail.com</v>
      </c>
    </row>
    <row r="5" spans="1:4" x14ac:dyDescent="0.25">
      <c r="A5" t="s">
        <v>10</v>
      </c>
      <c r="B5" t="s">
        <v>11</v>
      </c>
      <c r="C5" t="str">
        <f t="shared" si="0"/>
        <v xml:space="preserve">galarza, ramona </v>
      </c>
      <c r="D5" t="str">
        <f t="shared" si="1"/>
        <v>galarzaramona @gmail.com</v>
      </c>
    </row>
    <row r="6" spans="1:4" x14ac:dyDescent="0.25">
      <c r="A6" t="s">
        <v>12</v>
      </c>
      <c r="B6" t="s">
        <v>13</v>
      </c>
      <c r="C6" t="str">
        <f t="shared" si="0"/>
        <v>navarro, elvio</v>
      </c>
      <c r="D6" t="str">
        <f t="shared" si="1"/>
        <v>navarroelvio@gmail.com</v>
      </c>
    </row>
    <row r="7" spans="1:4" x14ac:dyDescent="0.25">
      <c r="A7" t="s">
        <v>14</v>
      </c>
      <c r="B7" t="s">
        <v>15</v>
      </c>
      <c r="C7" t="str">
        <f t="shared" si="0"/>
        <v>lapacco, sinforoza</v>
      </c>
      <c r="D7" t="str">
        <f t="shared" si="1"/>
        <v>lapaccosinforoza@gmail.com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13" sqref="B13"/>
    </sheetView>
  </sheetViews>
  <sheetFormatPr baseColWidth="10" defaultRowHeight="15" x14ac:dyDescent="0.25"/>
  <cols>
    <col min="1" max="1" width="29.42578125" customWidth="1"/>
    <col min="2" max="2" width="22.7109375" customWidth="1"/>
    <col min="3" max="3" width="12.42578125" customWidth="1"/>
    <col min="4" max="4" width="14.42578125" customWidth="1"/>
    <col min="5" max="5" width="11.85546875" customWidth="1"/>
    <col min="8" max="8" width="29.85546875" customWidth="1"/>
  </cols>
  <sheetData>
    <row r="1" spans="1:8" ht="15.75" thickBot="1" x14ac:dyDescent="0.3">
      <c r="A1" t="s">
        <v>2</v>
      </c>
      <c r="B1" t="s">
        <v>22</v>
      </c>
      <c r="C1" t="s">
        <v>23</v>
      </c>
      <c r="D1" t="s">
        <v>24</v>
      </c>
      <c r="E1" t="s">
        <v>25</v>
      </c>
      <c r="F1" s="5" t="s">
        <v>26</v>
      </c>
      <c r="G1" s="5" t="s">
        <v>27</v>
      </c>
      <c r="H1" s="5" t="s">
        <v>28</v>
      </c>
    </row>
    <row r="2" spans="1:8" ht="15.75" thickBot="1" x14ac:dyDescent="0.3">
      <c r="A2" t="s">
        <v>16</v>
      </c>
      <c r="B2" s="3">
        <v>36438</v>
      </c>
      <c r="C2">
        <f ca="1">DATEDIF(B2,TODAY(),"Y")</f>
        <v>26</v>
      </c>
      <c r="D2">
        <f ca="1">DATEDIF(B2,TODAY(),"M")</f>
        <v>319</v>
      </c>
      <c r="E2">
        <f ca="1">DATEDIF(B2,TODAY(),"D")</f>
        <v>9712</v>
      </c>
      <c r="F2" s="6">
        <v>8</v>
      </c>
      <c r="G2" s="5">
        <v>7</v>
      </c>
      <c r="H2" s="5">
        <f>AVERAGE(F2:G2)</f>
        <v>7.5</v>
      </c>
    </row>
    <row r="3" spans="1:8" ht="15.75" thickBot="1" x14ac:dyDescent="0.3">
      <c r="A3" t="s">
        <v>17</v>
      </c>
      <c r="B3" s="3">
        <v>36917</v>
      </c>
      <c r="C3">
        <f t="shared" ref="C3:C7" ca="1" si="0">DATEDIF(B3,TODAY(),"Y")</f>
        <v>25</v>
      </c>
      <c r="D3">
        <f t="shared" ref="D3:D7" ca="1" si="1">DATEDIF(B3,TODAY(),"M")</f>
        <v>303</v>
      </c>
      <c r="E3">
        <f t="shared" ref="E3:E7" ca="1" si="2">DATEDIF(B3,TODAY(),"D")</f>
        <v>9233</v>
      </c>
      <c r="F3" s="6">
        <v>4</v>
      </c>
      <c r="G3" s="5">
        <v>3</v>
      </c>
      <c r="H3" s="5">
        <f t="shared" ref="H3:H7" si="3">AVERAGE(F3:G3)</f>
        <v>3.5</v>
      </c>
    </row>
    <row r="4" spans="1:8" ht="15.75" thickBot="1" x14ac:dyDescent="0.3">
      <c r="A4" t="s">
        <v>18</v>
      </c>
      <c r="B4" s="4">
        <v>36597</v>
      </c>
      <c r="C4">
        <f t="shared" ca="1" si="0"/>
        <v>26</v>
      </c>
      <c r="D4">
        <f t="shared" ca="1" si="1"/>
        <v>313</v>
      </c>
      <c r="E4">
        <f t="shared" ca="1" si="2"/>
        <v>9553</v>
      </c>
      <c r="F4" s="6">
        <v>9</v>
      </c>
      <c r="G4" s="5">
        <v>8</v>
      </c>
      <c r="H4" s="5">
        <f t="shared" si="3"/>
        <v>8.5</v>
      </c>
    </row>
    <row r="5" spans="1:8" ht="15.75" thickBot="1" x14ac:dyDescent="0.3">
      <c r="A5" t="s">
        <v>19</v>
      </c>
      <c r="B5" s="3">
        <v>39641</v>
      </c>
      <c r="C5">
        <f t="shared" ca="1" si="0"/>
        <v>17</v>
      </c>
      <c r="D5">
        <f t="shared" ca="1" si="1"/>
        <v>213</v>
      </c>
      <c r="E5">
        <f t="shared" ca="1" si="2"/>
        <v>6509</v>
      </c>
      <c r="F5" s="6">
        <v>10</v>
      </c>
      <c r="G5" s="5">
        <v>9</v>
      </c>
      <c r="H5" s="5">
        <f t="shared" si="3"/>
        <v>9.5</v>
      </c>
    </row>
    <row r="6" spans="1:8" ht="15.75" thickBot="1" x14ac:dyDescent="0.3">
      <c r="A6" t="s">
        <v>20</v>
      </c>
      <c r="B6" s="3">
        <v>29390</v>
      </c>
      <c r="C6">
        <f t="shared" ca="1" si="0"/>
        <v>45</v>
      </c>
      <c r="D6">
        <f t="shared" ca="1" si="1"/>
        <v>550</v>
      </c>
      <c r="E6">
        <f t="shared" ca="1" si="2"/>
        <v>16760</v>
      </c>
      <c r="F6" s="6">
        <v>3</v>
      </c>
      <c r="G6" s="5">
        <v>2</v>
      </c>
      <c r="H6" s="5">
        <f t="shared" si="3"/>
        <v>2.5</v>
      </c>
    </row>
    <row r="7" spans="1:8" ht="15.75" thickBot="1" x14ac:dyDescent="0.3">
      <c r="A7" t="s">
        <v>21</v>
      </c>
      <c r="B7" s="3">
        <v>28098</v>
      </c>
      <c r="C7">
        <f t="shared" ca="1" si="0"/>
        <v>49</v>
      </c>
      <c r="D7">
        <f t="shared" ca="1" si="1"/>
        <v>593</v>
      </c>
      <c r="E7">
        <f t="shared" ca="1" si="2"/>
        <v>18052</v>
      </c>
      <c r="F7" s="6">
        <v>2</v>
      </c>
      <c r="G7" s="5">
        <v>4</v>
      </c>
      <c r="H7" s="5">
        <f t="shared" si="3"/>
        <v>3</v>
      </c>
    </row>
    <row r="10" spans="1:8" x14ac:dyDescent="0.25">
      <c r="A10" t="s">
        <v>29</v>
      </c>
      <c r="B10">
        <f>MAX(H2:H7)</f>
        <v>9.5</v>
      </c>
    </row>
    <row r="11" spans="1:8" x14ac:dyDescent="0.25">
      <c r="A11" t="s">
        <v>30</v>
      </c>
      <c r="B11">
        <f>MIN(H2:H7)</f>
        <v>2.5</v>
      </c>
    </row>
    <row r="12" spans="1:8" x14ac:dyDescent="0.25">
      <c r="A12" t="s">
        <v>31</v>
      </c>
      <c r="B12">
        <f>COUNTIF(H2:H7,"&lt;6")</f>
        <v>3</v>
      </c>
    </row>
    <row r="13" spans="1:8" x14ac:dyDescent="0.25">
      <c r="A13" t="s">
        <v>32</v>
      </c>
      <c r="B13">
        <f>COUNTIF(H2:H7,"&gt;=6")</f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C2" sqref="C2"/>
    </sheetView>
  </sheetViews>
  <sheetFormatPr baseColWidth="10" defaultRowHeight="15" x14ac:dyDescent="0.25"/>
  <cols>
    <col min="3" max="3" width="24.85546875" bestFit="1" customWidth="1"/>
    <col min="4" max="4" width="11.85546875" bestFit="1" customWidth="1"/>
    <col min="7" max="7" width="25.5703125" bestFit="1" customWidth="1"/>
  </cols>
  <sheetData>
    <row r="1" spans="1:7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56</v>
      </c>
    </row>
    <row r="2" spans="1:7" x14ac:dyDescent="0.25">
      <c r="A2" t="s">
        <v>38</v>
      </c>
      <c r="B2" t="s">
        <v>39</v>
      </c>
      <c r="C2" t="str">
        <f>LOWER(A2&amp;B2&amp;"@gmail.com")</f>
        <v>luisromero@gmail.com</v>
      </c>
      <c r="D2" t="s">
        <v>40</v>
      </c>
      <c r="E2" t="s">
        <v>49</v>
      </c>
      <c r="F2">
        <v>8</v>
      </c>
      <c r="G2" s="7" t="s">
        <v>51</v>
      </c>
    </row>
    <row r="3" spans="1:7" ht="16.5" customHeight="1" x14ac:dyDescent="0.25">
      <c r="A3" t="s">
        <v>41</v>
      </c>
      <c r="B3" t="s">
        <v>47</v>
      </c>
      <c r="C3" t="str">
        <f t="shared" ref="C3:C6" si="0">LOWER(A3&amp;B3&amp;"@gmail.com")</f>
        <v>carlaconte@gmail.com</v>
      </c>
      <c r="D3" t="s">
        <v>48</v>
      </c>
      <c r="E3" t="s">
        <v>49</v>
      </c>
      <c r="F3">
        <v>7</v>
      </c>
      <c r="G3" t="s">
        <v>52</v>
      </c>
    </row>
    <row r="4" spans="1:7" x14ac:dyDescent="0.25">
      <c r="A4" t="s">
        <v>42</v>
      </c>
      <c r="B4" t="s">
        <v>46</v>
      </c>
      <c r="C4" t="str">
        <f t="shared" si="0"/>
        <v>sergioperez@gmail.com</v>
      </c>
      <c r="D4" t="s">
        <v>40</v>
      </c>
      <c r="E4" t="s">
        <v>50</v>
      </c>
      <c r="F4">
        <v>4</v>
      </c>
      <c r="G4" t="s">
        <v>53</v>
      </c>
    </row>
    <row r="5" spans="1:7" x14ac:dyDescent="0.25">
      <c r="A5" t="s">
        <v>43</v>
      </c>
      <c r="B5" t="s">
        <v>45</v>
      </c>
      <c r="C5" t="str">
        <f t="shared" si="0"/>
        <v>luisaramirez@gmail.com</v>
      </c>
      <c r="D5" t="s">
        <v>48</v>
      </c>
      <c r="E5" t="s">
        <v>50</v>
      </c>
      <c r="F5">
        <v>3</v>
      </c>
      <c r="G5" t="s">
        <v>54</v>
      </c>
    </row>
    <row r="6" spans="1:7" x14ac:dyDescent="0.25">
      <c r="A6" t="s">
        <v>44</v>
      </c>
      <c r="B6" t="s">
        <v>39</v>
      </c>
      <c r="C6" t="str">
        <f t="shared" si="0"/>
        <v>ramonaromero@gmail.com</v>
      </c>
      <c r="D6" t="s">
        <v>48</v>
      </c>
      <c r="E6" t="s">
        <v>49</v>
      </c>
      <c r="F6">
        <v>6</v>
      </c>
      <c r="G6" t="s">
        <v>55</v>
      </c>
    </row>
    <row r="8" spans="1:7" x14ac:dyDescent="0.25">
      <c r="A8" t="s">
        <v>58</v>
      </c>
      <c r="D8">
        <f>COUNTIF(E2:E6,"5a")</f>
        <v>3</v>
      </c>
    </row>
    <row r="9" spans="1:7" x14ac:dyDescent="0.25">
      <c r="A9" t="s">
        <v>57</v>
      </c>
      <c r="D9">
        <f>COUNTIF(F2:F6,"&gt;=6")</f>
        <v>3</v>
      </c>
    </row>
    <row r="10" spans="1:7" x14ac:dyDescent="0.25">
      <c r="A10" t="s">
        <v>59</v>
      </c>
      <c r="D10">
        <f>COUNTIFS(F2:F6,"&lt;6",D2:D6,"f")</f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D2" sqref="D2"/>
    </sheetView>
  </sheetViews>
  <sheetFormatPr baseColWidth="10" defaultRowHeight="15" x14ac:dyDescent="0.25"/>
  <cols>
    <col min="1" max="1" width="17.5703125" bestFit="1" customWidth="1"/>
  </cols>
  <sheetData>
    <row r="1" spans="1:6" x14ac:dyDescent="0.25">
      <c r="A1" t="s">
        <v>60</v>
      </c>
      <c r="B1" t="s">
        <v>34</v>
      </c>
      <c r="C1" t="s">
        <v>33</v>
      </c>
      <c r="D1" t="s">
        <v>64</v>
      </c>
      <c r="E1" t="s">
        <v>65</v>
      </c>
      <c r="F1" t="s">
        <v>66</v>
      </c>
    </row>
    <row r="2" spans="1:6" x14ac:dyDescent="0.25">
      <c r="A2" t="s">
        <v>61</v>
      </c>
      <c r="B2" t="str">
        <f>LEFT(A2,SEARCH(",",A2,1)-1)</f>
        <v>Perez</v>
      </c>
      <c r="C2" t="str">
        <f>RIGHT(A2,LEN(A2)-SEARCH(",",A2,1)-1)</f>
        <v>Luis</v>
      </c>
      <c r="D2">
        <f>LEN(A2)</f>
        <v>11</v>
      </c>
      <c r="E2">
        <f>SEARCH(",",A2,1)-1</f>
        <v>5</v>
      </c>
      <c r="F2">
        <f>D2-E2-2</f>
        <v>4</v>
      </c>
    </row>
    <row r="3" spans="1:6" x14ac:dyDescent="0.25">
      <c r="A3" t="s">
        <v>62</v>
      </c>
      <c r="B3" t="str">
        <f t="shared" ref="B3:B5" si="0">LEFT(A3,SEARCH(",",A3,1)-1)</f>
        <v>Rodriguez</v>
      </c>
      <c r="C3" t="str">
        <f>RIGHT(A3,LEN(A3)-SEARCH(",",A3,1)-1)</f>
        <v>Natalia</v>
      </c>
      <c r="D3">
        <f t="shared" ref="D3:D5" si="1">LEN(A3)</f>
        <v>18</v>
      </c>
      <c r="E3">
        <f t="shared" ref="E3:E5" si="2">SEARCH(",",A3,1)-1</f>
        <v>9</v>
      </c>
      <c r="F3">
        <f t="shared" ref="F3:F5" si="3">D3-E3-2</f>
        <v>7</v>
      </c>
    </row>
    <row r="4" spans="1:6" x14ac:dyDescent="0.25">
      <c r="A4" t="s">
        <v>63</v>
      </c>
      <c r="B4" t="str">
        <f t="shared" si="0"/>
        <v>Saldaña</v>
      </c>
      <c r="C4" t="str">
        <f t="shared" ref="C4:C5" si="4">RIGHT(A4,LEN(A4)-SEARCH(",",A4,1)-1)</f>
        <v>Luis</v>
      </c>
      <c r="D4">
        <f t="shared" si="1"/>
        <v>13</v>
      </c>
      <c r="E4">
        <f t="shared" si="2"/>
        <v>7</v>
      </c>
      <c r="F4">
        <f t="shared" si="3"/>
        <v>4</v>
      </c>
    </row>
    <row r="5" spans="1:6" x14ac:dyDescent="0.25">
      <c r="A5" t="s">
        <v>67</v>
      </c>
      <c r="B5" t="str">
        <f t="shared" si="0"/>
        <v>Perez</v>
      </c>
      <c r="C5" t="str">
        <f t="shared" si="4"/>
        <v>Carina Luisa</v>
      </c>
      <c r="D5">
        <f t="shared" si="1"/>
        <v>19</v>
      </c>
      <c r="E5">
        <f t="shared" si="2"/>
        <v>5</v>
      </c>
      <c r="F5">
        <f t="shared" si="3"/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4" sqref="B4"/>
    </sheetView>
  </sheetViews>
  <sheetFormatPr baseColWidth="10" defaultRowHeight="15" x14ac:dyDescent="0.25"/>
  <cols>
    <col min="2" max="2" width="19.85546875" bestFit="1" customWidth="1"/>
    <col min="3" max="3" width="12.7109375" customWidth="1"/>
  </cols>
  <sheetData>
    <row r="1" spans="1:3" x14ac:dyDescent="0.25">
      <c r="A1" t="s">
        <v>33</v>
      </c>
      <c r="B1" t="s">
        <v>68</v>
      </c>
      <c r="C1" t="s">
        <v>69</v>
      </c>
    </row>
    <row r="2" spans="1:3" x14ac:dyDescent="0.25">
      <c r="A2" t="s">
        <v>70</v>
      </c>
      <c r="B2" s="3">
        <v>38466</v>
      </c>
      <c r="C2" t="str">
        <f ca="1">IF(DAY(B2)= DAY(TODAY()),IF(MONTH(B2)=MONTH(TODAY()),"Feliz Cumple",""),"")</f>
        <v/>
      </c>
    </row>
    <row r="3" spans="1:3" x14ac:dyDescent="0.25">
      <c r="A3" t="s">
        <v>38</v>
      </c>
      <c r="B3" s="3">
        <v>36588</v>
      </c>
      <c r="C3" t="str">
        <f t="shared" ref="C3:C8" ca="1" si="0">IF(DAY(B3)= DAY(TODAY()),IF(MONTH(B3)=MONTH(TODAY()),"Feliz Cumple",""),"")</f>
        <v/>
      </c>
    </row>
    <row r="4" spans="1:3" x14ac:dyDescent="0.25">
      <c r="A4" t="s">
        <v>71</v>
      </c>
      <c r="B4" s="3">
        <v>37105</v>
      </c>
      <c r="C4" t="str">
        <f t="shared" ca="1" si="0"/>
        <v/>
      </c>
    </row>
    <row r="5" spans="1:3" x14ac:dyDescent="0.25">
      <c r="A5" t="s">
        <v>72</v>
      </c>
      <c r="B5" s="3">
        <v>36274</v>
      </c>
      <c r="C5" t="str">
        <f t="shared" ca="1" si="0"/>
        <v/>
      </c>
    </row>
    <row r="6" spans="1:3" x14ac:dyDescent="0.25">
      <c r="A6" t="s">
        <v>73</v>
      </c>
      <c r="B6" s="3">
        <v>37371</v>
      </c>
      <c r="C6" t="str">
        <f t="shared" ca="1" si="0"/>
        <v/>
      </c>
    </row>
    <row r="7" spans="1:3" x14ac:dyDescent="0.25">
      <c r="A7" t="s">
        <v>74</v>
      </c>
      <c r="B7" s="3">
        <v>36619</v>
      </c>
      <c r="C7" t="str">
        <f t="shared" ca="1" si="0"/>
        <v/>
      </c>
    </row>
    <row r="8" spans="1:3" x14ac:dyDescent="0.25">
      <c r="A8" t="s">
        <v>44</v>
      </c>
      <c r="B8" s="3">
        <v>38831</v>
      </c>
      <c r="C8" t="str">
        <f t="shared" ca="1" si="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2" sqref="A2"/>
    </sheetView>
  </sheetViews>
  <sheetFormatPr baseColWidth="10" defaultRowHeight="15" x14ac:dyDescent="0.25"/>
  <cols>
    <col min="2" max="2" width="11.85546875" bestFit="1" customWidth="1"/>
    <col min="4" max="4" width="12.140625" bestFit="1" customWidth="1"/>
    <col min="5" max="5" width="25.140625" bestFit="1" customWidth="1"/>
    <col min="6" max="6" width="14.85546875" bestFit="1" customWidth="1"/>
  </cols>
  <sheetData>
    <row r="1" spans="1:6" x14ac:dyDescent="0.25">
      <c r="A1" t="s">
        <v>78</v>
      </c>
      <c r="B1" t="s">
        <v>33</v>
      </c>
      <c r="C1" t="s">
        <v>75</v>
      </c>
      <c r="D1" t="s">
        <v>76</v>
      </c>
      <c r="E1" t="s">
        <v>77</v>
      </c>
      <c r="F1" t="s">
        <v>79</v>
      </c>
    </row>
    <row r="2" spans="1:6" x14ac:dyDescent="0.25">
      <c r="A2">
        <v>1</v>
      </c>
      <c r="B2" t="s">
        <v>70</v>
      </c>
      <c r="C2" s="8"/>
      <c r="D2" s="8"/>
      <c r="E2" t="str">
        <f>IF(COUNT(C2:D2)=2,AVERAGE(C2:D2),"debe ingresar las dos notas")</f>
        <v>debe ingresar las dos notas</v>
      </c>
      <c r="F2" t="s">
        <v>80</v>
      </c>
    </row>
    <row r="3" spans="1:6" x14ac:dyDescent="0.25">
      <c r="A3">
        <v>2</v>
      </c>
      <c r="B3" t="s">
        <v>38</v>
      </c>
      <c r="C3" s="8">
        <v>7</v>
      </c>
      <c r="D3" s="8">
        <v>8</v>
      </c>
      <c r="E3">
        <f t="shared" ref="E3:E8" si="0">IF(COUNT(C3:D3)=2,AVERAGE(C3:D3),"debe ingresar las dos notas")</f>
        <v>7.5</v>
      </c>
      <c r="F3" t="s">
        <v>81</v>
      </c>
    </row>
    <row r="4" spans="1:6" x14ac:dyDescent="0.25">
      <c r="A4">
        <v>3</v>
      </c>
      <c r="B4" t="s">
        <v>71</v>
      </c>
      <c r="C4" s="8">
        <v>9</v>
      </c>
      <c r="D4" s="8">
        <v>6</v>
      </c>
      <c r="E4">
        <f t="shared" si="0"/>
        <v>7.5</v>
      </c>
      <c r="F4" t="s">
        <v>82</v>
      </c>
    </row>
    <row r="5" spans="1:6" x14ac:dyDescent="0.25">
      <c r="A5">
        <v>4</v>
      </c>
      <c r="B5" t="s">
        <v>72</v>
      </c>
      <c r="C5" s="8">
        <v>8</v>
      </c>
      <c r="D5" s="8">
        <v>4</v>
      </c>
      <c r="E5">
        <f t="shared" si="0"/>
        <v>6</v>
      </c>
      <c r="F5" t="s">
        <v>83</v>
      </c>
    </row>
    <row r="6" spans="1:6" x14ac:dyDescent="0.25">
      <c r="A6">
        <v>5</v>
      </c>
      <c r="B6" t="s">
        <v>73</v>
      </c>
      <c r="C6" s="8">
        <v>5</v>
      </c>
      <c r="D6" s="8">
        <v>4</v>
      </c>
      <c r="E6">
        <f t="shared" si="0"/>
        <v>4.5</v>
      </c>
      <c r="F6" t="s">
        <v>84</v>
      </c>
    </row>
    <row r="7" spans="1:6" x14ac:dyDescent="0.25">
      <c r="A7">
        <v>6</v>
      </c>
      <c r="B7" t="s">
        <v>74</v>
      </c>
      <c r="C7" s="8">
        <v>2</v>
      </c>
      <c r="D7" s="8">
        <v>7</v>
      </c>
      <c r="E7">
        <f t="shared" si="0"/>
        <v>4.5</v>
      </c>
      <c r="F7" t="s">
        <v>85</v>
      </c>
    </row>
    <row r="8" spans="1:6" x14ac:dyDescent="0.25">
      <c r="A8">
        <v>7</v>
      </c>
      <c r="B8" t="s">
        <v>44</v>
      </c>
      <c r="C8" s="8">
        <v>3</v>
      </c>
      <c r="D8" s="8">
        <v>4</v>
      </c>
      <c r="E8">
        <f t="shared" si="0"/>
        <v>3.5</v>
      </c>
      <c r="F8" t="s">
        <v>86</v>
      </c>
    </row>
    <row r="10" spans="1:6" x14ac:dyDescent="0.25">
      <c r="A10" t="s">
        <v>78</v>
      </c>
      <c r="B10" t="s">
        <v>87</v>
      </c>
      <c r="C10" t="s">
        <v>77</v>
      </c>
      <c r="D10" t="s">
        <v>79</v>
      </c>
    </row>
    <row r="11" spans="1:6" x14ac:dyDescent="0.25">
      <c r="A11">
        <v>7</v>
      </c>
      <c r="B11" t="str">
        <f>VLOOKUP(A11,A2:F8,2,FALSE)</f>
        <v>Ramona</v>
      </c>
      <c r="C11">
        <f>VLOOKUP(A11,A2:F8,5,FALSE)</f>
        <v>3.5</v>
      </c>
      <c r="D11" t="str">
        <f>VLOOKUP(A11,A2:F8,6,FALSE)</f>
        <v>Alverdi 2299</v>
      </c>
    </row>
  </sheetData>
  <dataValidations count="1">
    <dataValidation type="decimal" allowBlank="1" showInputMessage="1" showErrorMessage="1" errorTitle="Error" error="Nota invalida" promptTitle="Importante" prompt="Ingresar la nota" sqref="D2:D8 C4:C8">
      <formula1>1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Alumnos Taller Quinto Año</cp:lastModifiedBy>
  <dcterms:created xsi:type="dcterms:W3CDTF">2026-04-10T12:53:44Z</dcterms:created>
  <dcterms:modified xsi:type="dcterms:W3CDTF">2026-05-08T13:05:27Z</dcterms:modified>
</cp:coreProperties>
</file>